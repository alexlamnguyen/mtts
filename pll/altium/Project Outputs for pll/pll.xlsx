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ll\Project Outputs for pll\"/>
    </mc:Choice>
  </mc:AlternateContent>
  <xr:revisionPtr revIDLastSave="0" documentId="13_ncr:1_{E4DFFF3C-0714-4047-BFA6-EC3AC2278CB8}" xr6:coauthVersionLast="47" xr6:coauthVersionMax="47" xr10:uidLastSave="{00000000-0000-0000-0000-000000000000}"/>
  <bookViews>
    <workbookView xWindow="1690" yWindow="3230" windowWidth="18180" windowHeight="11170" xr2:uid="{9D9F5E2D-7AF4-49F8-9CAB-7BD1D4570A00}"/>
  </bookViews>
  <sheets>
    <sheet name="pll" sheetId="1" r:id="rId1"/>
  </sheets>
  <definedNames>
    <definedName name="_xlnm.Print_Titles" localSheetId="0">pll!$1:$1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8" i="1" l="1"/>
</calcChain>
</file>

<file path=xl/sharedStrings.xml><?xml version="1.0" encoding="utf-8"?>
<sst xmlns="http://schemas.openxmlformats.org/spreadsheetml/2006/main" count="195" uniqueCount="101">
  <si>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</si>
  <si>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</si>
  <si>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</si>
  <si>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</si>
  <si>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</si>
  <si>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</si>
  <si>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</si>
  <si>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</si>
  <si>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</si>
  <si>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</si>
  <si>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</si>
  <si>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</si>
  <si>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</si>
  <si>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</si>
  <si>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</si>
  <si>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</si>
  <si>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GRM1885C1H101JA01D</t>
  </si>
  <si>
    <t>C6, C7, C8</t>
  </si>
  <si>
    <t>CMP-2006-02595-1</t>
  </si>
  <si>
    <t>Released</t>
  </si>
  <si>
    <t>Up to date</t>
  </si>
  <si>
    <t>Murata</t>
  </si>
  <si>
    <t>Not Recommended for New Design</t>
  </si>
  <si>
    <t>DigiKey</t>
  </si>
  <si>
    <t>490-1427-6-ND</t>
  </si>
  <si>
    <t>ERJ-3GEYJ680V</t>
  </si>
  <si>
    <t>R3</t>
  </si>
  <si>
    <t>CMP-2000-00818-1</t>
  </si>
  <si>
    <t>Panasonic</t>
  </si>
  <si>
    <t>Volume Production</t>
  </si>
  <si>
    <t>Arrow Electronics</t>
  </si>
  <si>
    <t>C0603C104K5RACTU</t>
  </si>
  <si>
    <t>CAP CER 0.1UF 50V X7R 0603</t>
  </si>
  <si>
    <t>C4, C5, C12, C13, C14, C15, C16, C17, C25</t>
  </si>
  <si>
    <t>CMP-2006-03061-2</t>
  </si>
  <si>
    <t>New From Design</t>
  </si>
  <si>
    <t>Yageo Group</t>
  </si>
  <si>
    <t>Mouser</t>
  </si>
  <si>
    <t>80-C0603C104K5R</t>
  </si>
  <si>
    <t>CL21B106KOQNNNE</t>
  </si>
  <si>
    <t>CAP CER 10UF 16V X7R 0805</t>
  </si>
  <si>
    <t>C18, C19, C22, C23</t>
  </si>
  <si>
    <t>CMP-2000-06106-2</t>
  </si>
  <si>
    <t>Samsung Electro-Mechanics</t>
  </si>
  <si>
    <t>1276-2872-6-ND</t>
  </si>
  <si>
    <t>C0603C103K5RACTU</t>
  </si>
  <si>
    <t>CAP CER 10000PF 50V X7R 0603</t>
  </si>
  <si>
    <t>C10</t>
  </si>
  <si>
    <t>CMP-2006-03046-3</t>
  </si>
  <si>
    <t>Newark</t>
  </si>
  <si>
    <t>GCM1885C1H332FA16D</t>
  </si>
  <si>
    <t>Ceramic Capacitor for Automotive 3.3nF  ±1% 50VDC C0G 0603 Paper T/R</t>
  </si>
  <si>
    <t>C3</t>
  </si>
  <si>
    <t>CMP-06035-044585-1</t>
  </si>
  <si>
    <t>490-GCM1885C1H332FA16DDKR-ND</t>
  </si>
  <si>
    <t>UMK107AB7105KA-T</t>
  </si>
  <si>
    <t>Ceramic Capacitor General Use 1uF ±10% 50V X7R 0603</t>
  </si>
  <si>
    <t>C11, C20, C21, C24</t>
  </si>
  <si>
    <t>CMP-2000-07531-4</t>
  </si>
  <si>
    <t>TAIYO YUDEN</t>
  </si>
  <si>
    <t>963-UMK107AB7105KA-T</t>
  </si>
  <si>
    <t>GRM188R71A225KE15D</t>
  </si>
  <si>
    <t>Chip Multilayer Ceramic Capacitors for General Purpose, 0603, 2.2uF, X7R, 15%, 10%, 10V</t>
  </si>
  <si>
    <t>C9</t>
  </si>
  <si>
    <t>CMP-2006-02836-2</t>
  </si>
  <si>
    <t>GRM1885C1H152JA01D</t>
  </si>
  <si>
    <t>Chip Multilayer Ceramic Capacitors for General Purpose, 0603, 1500pF, C0G, 30ppm/°C, 5%, 50V</t>
  </si>
  <si>
    <t>C1</t>
  </si>
  <si>
    <t>CMP-06035-043535-1</t>
  </si>
  <si>
    <t>GRM3195C1H683JA05D</t>
  </si>
  <si>
    <t>Chip Multilayer Ceramic Capacitors for General Purpose, 1206, 68000pF, C0G, 30ppm/°C, 5%, 50V</t>
  </si>
  <si>
    <t>C2</t>
  </si>
  <si>
    <t>CMP-06035-047801-1</t>
  </si>
  <si>
    <t>CRCW0603100RFKEA</t>
  </si>
  <si>
    <t>Chip Resistor, 100 Ohm, +/- 1%, 100 mW,-55 to 155 degC, 0603 (1608 Metric), RoHS, Tape and Ree</t>
  </si>
  <si>
    <t>R4</t>
  </si>
  <si>
    <t>CMP-2000-03824-5</t>
  </si>
  <si>
    <t>Vishay</t>
  </si>
  <si>
    <t>RC0603FR-07120RL</t>
  </si>
  <si>
    <t>Chip Resistor, 120 Ohm, +/- 1%, 100 mW, -55 to 155 degC, 0603 (1608 Metric), RoHS, Tape and Reel</t>
  </si>
  <si>
    <t>R2</t>
  </si>
  <si>
    <t>CMP-1659-00034-1</t>
  </si>
  <si>
    <t>LMX2592RHAT</t>
  </si>
  <si>
    <t>IC PLL FREQ SYNTH W/VCO 40VQFN</t>
  </si>
  <si>
    <t>U2</t>
  </si>
  <si>
    <t>CMP-04856-000019-1</t>
  </si>
  <si>
    <t>Texas Instruments</t>
  </si>
  <si>
    <t>SIT5021AI-2BE-33VQ200.000000X</t>
  </si>
  <si>
    <t>MEMS OSC VCTCXO 200.0000MHZ LVDS</t>
  </si>
  <si>
    <t>Y2</t>
  </si>
  <si>
    <t>CMP-25159-261274-1</t>
  </si>
  <si>
    <t>SiTime</t>
  </si>
  <si>
    <t>1473-30176-6-ND</t>
  </si>
  <si>
    <t>CRCW060350R0FKEA</t>
  </si>
  <si>
    <t>RES Thick Film, 50Ω, 1%, 0.1W, 100ppm/°C, 0603</t>
  </si>
  <si>
    <t>R1, R5</t>
  </si>
  <si>
    <t>CMP-2000-03436-2</t>
  </si>
  <si>
    <t>TPS79633DCQR</t>
  </si>
  <si>
    <t>Single Output High PSRR LDO, 1 A, Fixed 3.3 V Output, 2.7 to 5.5 V Input, 6-pin SOT-223 (DCQ), -40 to 125 degC, Green (RoHS &amp; no Sb/Br)</t>
  </si>
  <si>
    <t>U3</t>
  </si>
  <si>
    <t>CMP-0395-00327-2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</si>
</sst>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BAB9-5F61-4E1F-A828-A9336B332B14}">
  <dimension ref="A1:P18"/>
  <sheetViews>
    <sheetView tabSelected="1" topLeftCell="H1" workbookViewId="0">
      <selection activeCell="P19" sqref="P19"/>
    </sheetView>
  </sheetViews>
  <sheetFormatPr defaultRowHeight="14.5" x14ac:dyDescent="0.35"/>
  <cols>
    <col min="1" max="1" width="8.81640625" customWidth="1"/>
    <col min="2" max="2" width="17" customWidth="1"/>
    <col min="3" max="4" width="15.81640625" customWidth="1"/>
    <col min="5" max="5" width="12.6328125" customWidth="1"/>
    <col min="6" max="6" width="17.453125" customWidth="1"/>
    <col min="7" max="7" width="15.54296875" customWidth="1"/>
    <col min="8" max="8" width="10.81640625" customWidth="1"/>
    <col min="9" max="9" width="16" customWidth="1"/>
    <col min="10" max="10" width="26.453125" customWidth="1"/>
    <col min="11" max="11" width="22.81640625" customWidth="1"/>
    <col min="12" max="12" width="11.81640625" customWidth="1"/>
    <col min="13" max="13" width="22.1796875" customWidth="1"/>
    <col min="14" max="14" width="19.7265625" customWidth="1"/>
    <col min="15" max="15" width="18.81640625" customWidth="1"/>
  </cols>
  <sheetData>
    <row r="1" spans="1:15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s="2" t="s">
        <v>15</v>
      </c>
      <c r="B2" s="2" t="s">
        <v>16</v>
      </c>
      <c r="C2" s="2" t="s">
        <v>15</v>
      </c>
      <c r="D2" s="2" t="s">
        <v>17</v>
      </c>
      <c r="E2" s="2" t="s">
        <v>18</v>
      </c>
      <c r="F2" s="2" t="s">
        <v>19</v>
      </c>
      <c r="G2" s="2" t="s">
        <v>20</v>
      </c>
      <c r="H2" s="1">
        <v>3</v>
      </c>
      <c r="I2" s="2" t="s">
        <v>21</v>
      </c>
      <c r="J2" s="2" t="s">
        <v>16</v>
      </c>
      <c r="K2" s="2" t="s">
        <v>22</v>
      </c>
      <c r="L2" s="2" t="s">
        <v>23</v>
      </c>
      <c r="M2" s="2" t="s">
        <v>24</v>
      </c>
      <c r="N2" s="1">
        <v>0.11</v>
      </c>
      <c r="O2" s="1">
        <v>0.33</v>
      </c>
    </row>
    <row r="3" spans="1:15" x14ac:dyDescent="0.35">
      <c r="A3" s="1"/>
      <c r="B3" s="2" t="s">
        <v>25</v>
      </c>
      <c r="C3" s="1"/>
      <c r="D3" s="2" t="s">
        <v>26</v>
      </c>
      <c r="E3" s="2" t="s">
        <v>27</v>
      </c>
      <c r="F3" s="2" t="s">
        <v>19</v>
      </c>
      <c r="G3" s="2" t="s">
        <v>20</v>
      </c>
      <c r="H3" s="1">
        <v>1</v>
      </c>
      <c r="I3" s="2" t="s">
        <v>28</v>
      </c>
      <c r="J3" s="2" t="s">
        <v>25</v>
      </c>
      <c r="K3" s="2" t="s">
        <v>29</v>
      </c>
      <c r="L3" s="2" t="s">
        <v>30</v>
      </c>
      <c r="M3" s="2" t="s">
        <v>25</v>
      </c>
      <c r="N3" s="1">
        <v>9.5200000000000007E-2</v>
      </c>
      <c r="O3" s="1">
        <v>9.5200000000000007E-2</v>
      </c>
    </row>
    <row r="4" spans="1:15" x14ac:dyDescent="0.35">
      <c r="A4" s="2" t="s">
        <v>15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20</v>
      </c>
      <c r="H4" s="1">
        <v>9</v>
      </c>
      <c r="I4" s="2" t="s">
        <v>36</v>
      </c>
      <c r="J4" s="2" t="s">
        <v>31</v>
      </c>
      <c r="K4" s="2" t="s">
        <v>29</v>
      </c>
      <c r="L4" s="2" t="s">
        <v>37</v>
      </c>
      <c r="M4" s="2" t="s">
        <v>38</v>
      </c>
      <c r="N4" s="1">
        <v>7.0000000000000007E-2</v>
      </c>
      <c r="O4" s="1">
        <v>0.7</v>
      </c>
    </row>
    <row r="5" spans="1:15" x14ac:dyDescent="0.35">
      <c r="A5" s="2" t="s">
        <v>15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35</v>
      </c>
      <c r="G5" s="2" t="s">
        <v>20</v>
      </c>
      <c r="H5" s="1">
        <v>4</v>
      </c>
      <c r="I5" s="2" t="s">
        <v>43</v>
      </c>
      <c r="J5" s="2" t="s">
        <v>39</v>
      </c>
      <c r="K5" s="2" t="s">
        <v>29</v>
      </c>
      <c r="L5" s="2" t="s">
        <v>23</v>
      </c>
      <c r="M5" s="2" t="s">
        <v>44</v>
      </c>
      <c r="N5" s="1">
        <v>0.28000000000000003</v>
      </c>
      <c r="O5" s="1">
        <v>1.1200000000000001</v>
      </c>
    </row>
    <row r="6" spans="1:15" x14ac:dyDescent="0.35">
      <c r="A6" s="1"/>
      <c r="B6" s="2" t="s">
        <v>45</v>
      </c>
      <c r="C6" s="2" t="s">
        <v>46</v>
      </c>
      <c r="D6" s="2" t="s">
        <v>47</v>
      </c>
      <c r="E6" s="2" t="s">
        <v>48</v>
      </c>
      <c r="F6" s="2" t="s">
        <v>35</v>
      </c>
      <c r="G6" s="2" t="s">
        <v>20</v>
      </c>
      <c r="H6" s="1">
        <v>1</v>
      </c>
      <c r="I6" s="2" t="s">
        <v>36</v>
      </c>
      <c r="J6" s="2" t="s">
        <v>45</v>
      </c>
      <c r="K6" s="2" t="s">
        <v>29</v>
      </c>
      <c r="L6" s="2" t="s">
        <v>49</v>
      </c>
      <c r="M6" s="2" t="s">
        <v>45</v>
      </c>
      <c r="N6" s="1">
        <v>0.112</v>
      </c>
      <c r="O6" s="1">
        <v>0.112</v>
      </c>
    </row>
    <row r="7" spans="1:15" x14ac:dyDescent="0.35">
      <c r="A7" s="1"/>
      <c r="B7" s="2" t="s">
        <v>50</v>
      </c>
      <c r="C7" s="2" t="s">
        <v>51</v>
      </c>
      <c r="D7" s="2" t="s">
        <v>52</v>
      </c>
      <c r="E7" s="2" t="s">
        <v>53</v>
      </c>
      <c r="F7" s="2" t="s">
        <v>35</v>
      </c>
      <c r="G7" s="2" t="s">
        <v>20</v>
      </c>
      <c r="H7" s="1">
        <v>1</v>
      </c>
      <c r="I7" s="2" t="s">
        <v>21</v>
      </c>
      <c r="J7" s="2" t="s">
        <v>50</v>
      </c>
      <c r="K7" s="2" t="s">
        <v>29</v>
      </c>
      <c r="L7" s="2" t="s">
        <v>23</v>
      </c>
      <c r="M7" s="2" t="s">
        <v>54</v>
      </c>
      <c r="N7" s="1">
        <v>0.2</v>
      </c>
      <c r="O7" s="1">
        <v>0.2</v>
      </c>
    </row>
    <row r="8" spans="1:15" x14ac:dyDescent="0.35">
      <c r="A8" s="2" t="s">
        <v>15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19</v>
      </c>
      <c r="G8" s="2" t="s">
        <v>20</v>
      </c>
      <c r="H8" s="1">
        <v>4</v>
      </c>
      <c r="I8" s="2" t="s">
        <v>59</v>
      </c>
      <c r="J8" s="2" t="s">
        <v>55</v>
      </c>
      <c r="K8" s="2" t="s">
        <v>29</v>
      </c>
      <c r="L8" s="2" t="s">
        <v>37</v>
      </c>
      <c r="M8" s="2" t="s">
        <v>60</v>
      </c>
      <c r="N8" s="1">
        <v>0.2</v>
      </c>
      <c r="O8" s="1">
        <v>0.8</v>
      </c>
    </row>
    <row r="9" spans="1:15" x14ac:dyDescent="0.35">
      <c r="A9" s="1"/>
      <c r="B9" s="2" t="s">
        <v>61</v>
      </c>
      <c r="C9" s="2" t="s">
        <v>62</v>
      </c>
      <c r="D9" s="2" t="s">
        <v>63</v>
      </c>
      <c r="E9" s="2" t="s">
        <v>64</v>
      </c>
      <c r="F9" s="2" t="s">
        <v>35</v>
      </c>
      <c r="G9" s="2" t="s">
        <v>20</v>
      </c>
      <c r="H9" s="1">
        <v>1</v>
      </c>
      <c r="I9" s="2" t="s">
        <v>21</v>
      </c>
      <c r="J9" s="2" t="s">
        <v>61</v>
      </c>
      <c r="K9" s="2" t="s">
        <v>29</v>
      </c>
      <c r="L9" s="2" t="s">
        <v>49</v>
      </c>
      <c r="M9" s="2" t="s">
        <v>61</v>
      </c>
      <c r="N9" s="1">
        <v>0.153</v>
      </c>
      <c r="O9" s="1">
        <v>0.153</v>
      </c>
    </row>
    <row r="10" spans="1:15" x14ac:dyDescent="0.35">
      <c r="A10" s="1"/>
      <c r="B10" s="2" t="s">
        <v>65</v>
      </c>
      <c r="C10" s="2" t="s">
        <v>66</v>
      </c>
      <c r="D10" s="2" t="s">
        <v>67</v>
      </c>
      <c r="E10" s="2" t="s">
        <v>68</v>
      </c>
      <c r="F10" s="2" t="s">
        <v>35</v>
      </c>
      <c r="G10" s="2" t="s">
        <v>20</v>
      </c>
      <c r="H10" s="1">
        <v>1</v>
      </c>
      <c r="I10" s="2" t="s">
        <v>21</v>
      </c>
      <c r="J10" s="2" t="s">
        <v>65</v>
      </c>
      <c r="K10" s="2" t="s">
        <v>29</v>
      </c>
      <c r="L10" s="2" t="s">
        <v>30</v>
      </c>
      <c r="M10" s="2" t="s">
        <v>65</v>
      </c>
      <c r="N10" s="1">
        <v>9.5200000000000007E-2</v>
      </c>
      <c r="O10" s="1">
        <v>9.5200000000000007E-2</v>
      </c>
    </row>
    <row r="11" spans="1:15" x14ac:dyDescent="0.35">
      <c r="A11" s="1"/>
      <c r="B11" s="2" t="s">
        <v>69</v>
      </c>
      <c r="C11" s="2" t="s">
        <v>70</v>
      </c>
      <c r="D11" s="2" t="s">
        <v>71</v>
      </c>
      <c r="E11" s="2" t="s">
        <v>72</v>
      </c>
      <c r="F11" s="2" t="s">
        <v>35</v>
      </c>
      <c r="G11" s="2" t="s">
        <v>20</v>
      </c>
      <c r="H11" s="1">
        <v>1</v>
      </c>
      <c r="I11" s="2" t="s">
        <v>21</v>
      </c>
      <c r="J11" s="2" t="s">
        <v>69</v>
      </c>
      <c r="K11" s="2" t="s">
        <v>29</v>
      </c>
      <c r="L11" s="2" t="s">
        <v>30</v>
      </c>
      <c r="M11" s="2" t="s">
        <v>69</v>
      </c>
      <c r="N11" s="1">
        <v>0.35220000000000001</v>
      </c>
      <c r="O11" s="1">
        <v>0.35220000000000001</v>
      </c>
    </row>
    <row r="12" spans="1:15" x14ac:dyDescent="0.35">
      <c r="A12" s="1"/>
      <c r="B12" s="2" t="s">
        <v>73</v>
      </c>
      <c r="C12" s="2" t="s">
        <v>74</v>
      </c>
      <c r="D12" s="2" t="s">
        <v>75</v>
      </c>
      <c r="E12" s="2" t="s">
        <v>76</v>
      </c>
      <c r="F12" s="2" t="s">
        <v>19</v>
      </c>
      <c r="G12" s="2" t="s">
        <v>20</v>
      </c>
      <c r="H12" s="1">
        <v>1</v>
      </c>
      <c r="I12" s="2" t="s">
        <v>77</v>
      </c>
      <c r="J12" s="2" t="s">
        <v>73</v>
      </c>
      <c r="K12" s="2" t="s">
        <v>29</v>
      </c>
      <c r="L12" s="2" t="s">
        <v>30</v>
      </c>
      <c r="M12" s="2" t="s">
        <v>73</v>
      </c>
      <c r="N12" s="1">
        <v>8.5000000000000006E-3</v>
      </c>
      <c r="O12" s="1">
        <v>8.5000000000000006E-3</v>
      </c>
    </row>
    <row r="13" spans="1:15" x14ac:dyDescent="0.35">
      <c r="A13" s="1"/>
      <c r="B13" s="2" t="s">
        <v>78</v>
      </c>
      <c r="C13" s="2" t="s">
        <v>79</v>
      </c>
      <c r="D13" s="2" t="s">
        <v>80</v>
      </c>
      <c r="E13" s="2" t="s">
        <v>81</v>
      </c>
      <c r="F13" s="2" t="s">
        <v>19</v>
      </c>
      <c r="G13" s="2" t="s">
        <v>20</v>
      </c>
      <c r="H13" s="1">
        <v>1</v>
      </c>
      <c r="I13" s="2" t="s">
        <v>36</v>
      </c>
      <c r="J13" s="2" t="s">
        <v>78</v>
      </c>
      <c r="K13" s="2" t="s">
        <v>29</v>
      </c>
      <c r="L13" s="2" t="s">
        <v>30</v>
      </c>
      <c r="M13" s="2" t="s">
        <v>78</v>
      </c>
      <c r="N13" s="1">
        <v>5.2699999999999997E-2</v>
      </c>
      <c r="O13" s="1">
        <v>5.2699999999999997E-2</v>
      </c>
    </row>
    <row r="14" spans="1:15" x14ac:dyDescent="0.35">
      <c r="A14" s="1"/>
      <c r="B14" s="2" t="s">
        <v>82</v>
      </c>
      <c r="C14" s="2" t="s">
        <v>83</v>
      </c>
      <c r="D14" s="2" t="s">
        <v>84</v>
      </c>
      <c r="E14" s="2" t="s">
        <v>85</v>
      </c>
      <c r="F14" s="2" t="s">
        <v>35</v>
      </c>
      <c r="G14" s="2" t="s">
        <v>20</v>
      </c>
      <c r="H14" s="1">
        <v>1</v>
      </c>
      <c r="I14" s="2" t="s">
        <v>86</v>
      </c>
      <c r="J14" s="2" t="s">
        <v>82</v>
      </c>
      <c r="K14" s="2" t="s">
        <v>29</v>
      </c>
      <c r="L14" s="2" t="s">
        <v>30</v>
      </c>
      <c r="M14" s="2" t="s">
        <v>82</v>
      </c>
      <c r="N14" s="1">
        <v>42.56</v>
      </c>
      <c r="O14" s="1">
        <v>42.56</v>
      </c>
    </row>
    <row r="15" spans="1:15" x14ac:dyDescent="0.35">
      <c r="A15" s="1"/>
      <c r="B15" s="2" t="s">
        <v>87</v>
      </c>
      <c r="C15" s="2" t="s">
        <v>88</v>
      </c>
      <c r="D15" s="2" t="s">
        <v>89</v>
      </c>
      <c r="E15" s="2" t="s">
        <v>90</v>
      </c>
      <c r="F15" s="2" t="s">
        <v>35</v>
      </c>
      <c r="G15" s="2" t="s">
        <v>20</v>
      </c>
      <c r="H15" s="1">
        <v>1</v>
      </c>
      <c r="I15" s="2" t="s">
        <v>91</v>
      </c>
      <c r="J15" s="2" t="s">
        <v>87</v>
      </c>
      <c r="K15" s="2" t="s">
        <v>22</v>
      </c>
      <c r="L15" s="2" t="s">
        <v>23</v>
      </c>
      <c r="M15" s="2" t="s">
        <v>92</v>
      </c>
      <c r="N15" s="1">
        <v>18.329999999999998</v>
      </c>
      <c r="O15" s="1">
        <v>18.329999999999998</v>
      </c>
    </row>
    <row r="16" spans="1:15" x14ac:dyDescent="0.35">
      <c r="A16" s="2" t="s">
        <v>15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35</v>
      </c>
      <c r="G16" s="2" t="s">
        <v>20</v>
      </c>
      <c r="H16" s="1">
        <v>2</v>
      </c>
      <c r="I16" s="2" t="s">
        <v>77</v>
      </c>
      <c r="J16" s="2" t="s">
        <v>93</v>
      </c>
      <c r="K16" s="2" t="s">
        <v>29</v>
      </c>
      <c r="L16" s="2" t="s">
        <v>49</v>
      </c>
      <c r="M16" s="2" t="s">
        <v>93</v>
      </c>
      <c r="N16" s="1">
        <v>1.2E-2</v>
      </c>
      <c r="O16" s="1">
        <v>2.4E-2</v>
      </c>
    </row>
    <row r="17" spans="1:16" x14ac:dyDescent="0.35">
      <c r="A17" s="1"/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19</v>
      </c>
      <c r="G17" s="2" t="s">
        <v>20</v>
      </c>
      <c r="H17" s="1">
        <v>1</v>
      </c>
      <c r="I17" s="2" t="s">
        <v>86</v>
      </c>
      <c r="J17" s="2" t="s">
        <v>97</v>
      </c>
      <c r="K17" s="2" t="s">
        <v>29</v>
      </c>
      <c r="L17" s="2" t="s">
        <v>30</v>
      </c>
      <c r="M17" s="2" t="s">
        <v>97</v>
      </c>
      <c r="N17" s="1">
        <v>2.95</v>
      </c>
      <c r="O17" s="1">
        <v>2.95</v>
      </c>
    </row>
    <row r="18" spans="1:16" x14ac:dyDescent="0.35">
      <c r="P18">
        <f>SUM(O2:O17)</f>
        <v>67.882800000000003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pll</vt:lpstr>
      <vt:lpstr>pll!Print_Titles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Lam Nguyen</dc:creator>
  <cp:lastModifiedBy>Alexander Lam Nguyen</cp:lastModifiedBy>
  <dcterms:created xsi:type="dcterms:W3CDTF">2026-09-25T06:37:01Z</dcterms:created>
  <dcterms:modified xsi:type="dcterms:W3CDTF">2026-09-25T06:39:23Z</dcterms:modified>
</cp:coreProperties>
</file>